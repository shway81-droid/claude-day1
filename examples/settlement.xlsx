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---------\f012f558-feec-488b-8856-4c1bcbf1ffb8\scratchpad\"/>
    </mc:Choice>
  </mc:AlternateContent>
  <xr:revisionPtr revIDLastSave="0" documentId="13_ncr:1_{9BA7E1DA-32C3-4D2F-8BEB-8E2F1075AFF6}" xr6:coauthVersionLast="36" xr6:coauthVersionMax="36" xr10:uidLastSave="{00000000-0000-0000-0000-000000000000}"/>
  <bookViews>
    <workbookView xWindow="0" yWindow="0" windowWidth="28800" windowHeight="14415" xr2:uid="{00000000-000D-0000-FFFF-FFFF00000000}"/>
  </bookViews>
  <sheets>
    <sheet name="정산표" sheetId="1" r:id="rId1"/>
  </sheets>
  <calcPr calcId="191029"/>
</workbook>
</file>

<file path=xl/calcChain.xml><?xml version="1.0" encoding="utf-8"?>
<calcChain xmlns="http://schemas.openxmlformats.org/spreadsheetml/2006/main">
  <c r="C22" i="1" l="1"/>
  <c r="C21" i="1"/>
  <c r="C20" i="1"/>
  <c r="C19" i="1"/>
  <c r="F15" i="1"/>
  <c r="B5" i="1" s="1"/>
  <c r="D5" i="1"/>
  <c r="E5" i="1" l="1"/>
  <c r="C23" i="1"/>
  <c r="D20" i="1"/>
  <c r="D19" i="1"/>
  <c r="D22" i="1"/>
  <c r="E22" i="1" s="1"/>
  <c r="F22" i="1" s="1"/>
  <c r="D21" i="1"/>
  <c r="E21" i="1" s="1"/>
  <c r="F21" i="1" s="1"/>
  <c r="E20" i="1"/>
  <c r="F20" i="1" s="1"/>
  <c r="E19" i="1"/>
  <c r="E23" i="1" l="1"/>
  <c r="F19" i="1"/>
  <c r="D23" i="1"/>
  <c r="B24" i="1" s="1"/>
</calcChain>
</file>

<file path=xl/sharedStrings.xml><?xml version="1.0" encoding="utf-8"?>
<sst xmlns="http://schemas.openxmlformats.org/spreadsheetml/2006/main" count="41" uniqueCount="34">
  <si>
    <t>경주 나들이 정산표</t>
  </si>
  <si>
    <t>2026년 10월 3일 · 4명이 똑같이 나눔 · 파란 글씨 칸을 고치면 나머지는 자동으로 계산됩니다</t>
  </si>
  <si>
    <t>총 지출</t>
  </si>
  <si>
    <t>인원</t>
  </si>
  <si>
    <t>1인당 낼 돈</t>
  </si>
  <si>
    <t>① 영수증 목록</t>
  </si>
  <si>
    <t>번호</t>
  </si>
  <si>
    <t>날짜·시각</t>
  </si>
  <si>
    <t>가게</t>
  </si>
  <si>
    <t>낸 사람</t>
  </si>
  <si>
    <t>금액</t>
  </si>
  <si>
    <t>메모</t>
  </si>
  <si>
    <t>행복셀프주유소</t>
  </si>
  <si>
    <t>민수</t>
  </si>
  <si>
    <t>테마파크 매표소</t>
  </si>
  <si>
    <t>편의점 경주보문점</t>
  </si>
  <si>
    <t>한솔마을 한정식</t>
  </si>
  <si>
    <t>영수증 합계 68,000원 → 품목 합계 64,000원으로 정산</t>
  </si>
  <si>
    <t>카페 보문호수</t>
  </si>
  <si>
    <t>기념품샵</t>
  </si>
  <si>
    <t>영수증 주소가 서울 용산구로 찍혀 있음</t>
  </si>
  <si>
    <t>합계</t>
  </si>
  <si>
    <t>② 사람별 정산</t>
  </si>
  <si>
    <t>이름</t>
  </si>
  <si>
    <t>낸 돈</t>
  </si>
  <si>
    <t>내야 할 돈</t>
  </si>
  <si>
    <t>차액</t>
  </si>
  <si>
    <t>정산 결과</t>
  </si>
  <si>
    <t>지영</t>
  </si>
  <si>
    <t>서준</t>
  </si>
  <si>
    <t>나</t>
  </si>
  <si>
    <t>※ 차액이 +이면 그만큼 돌려받고, -이면 그만큼 보내면 됩니다.</t>
  </si>
  <si>
    <t>※ 총 지출이 4로 나누어떨어지지 않으면 남는 1~3원은 이름 목록 위쪽 사람부터 1원씩 더 냅니다.</t>
  </si>
  <si>
    <t>※ 한솔마을 한정식은 영수증 합계(68,000원)가 품목을 더한 값(64,000원)보다 4,000원 많아, 64,000원으로 정산했습니다.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</si>
</sst>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0&quot;명&quot;"/>
    <numFmt numFmtId="179" formatCode="m&quot;월&quot;\ d&quot;일&quot;\ hh:mm"/>
    <numFmt numFmtId="180" formatCode="\+#,##0&quot;원&quot;;\-#,##0&quot;원&quot;;0&quot;원&quot;"/>
  </numFmts>
  <fonts count="14" x14ac:knownFonts="1">
    <font>
      <sz val="11"/>
      <color theme="1"/>
      <name val="맑은 고딕"/>
      <family val="2"/>
      <scheme val="minor"/>
    </font>
    <font>
      <b/>
      <sz val="18"/>
      <color rgb="FF1F2937"/>
      <name val="맑은 고딕"/>
      <family val="3"/>
      <charset val="129"/>
    </font>
    <font>
      <sz val="10"/>
      <color rgb="FF6B7280"/>
      <name val="맑은 고딕"/>
      <family val="3"/>
      <charset val="129"/>
    </font>
    <font>
      <b/>
      <sz val="18"/>
      <color rgb="FF1F4E78"/>
      <name val="맑은 고딕"/>
      <family val="3"/>
      <charset val="129"/>
    </font>
    <font>
      <b/>
      <sz val="13"/>
      <color rgb="FF1F4E7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1F2937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1"/>
      <color rgb="FF1F2937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0"/>
      <color rgb="FF1E7B34"/>
      <name val="맑은 고딕"/>
      <family val="3"/>
      <charset val="129"/>
    </font>
    <font>
      <sz val="9"/>
      <color rgb="FF6B72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7FB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8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/>
      <right/>
      <top style="thin">
        <color rgb="FFC9D3DF"/>
      </top>
      <bottom style="thin">
        <color rgb="FFC9D3DF"/>
      </bottom>
      <diagonal/>
    </border>
    <border>
      <left/>
      <right style="thin">
        <color rgb="FFC9D3DF"/>
      </right>
      <top style="thin">
        <color rgb="FFC9D3DF"/>
      </top>
      <bottom style="thin">
        <color rgb="FFC9D3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/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9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right" vertical="center" indent="1"/>
    </xf>
    <xf numFmtId="0" fontId="8" fillId="0" borderId="4" xfId="0" applyFont="1" applyBorder="1" applyAlignment="1">
      <alignment horizontal="left" vertical="center" indent="1"/>
    </xf>
    <xf numFmtId="0" fontId="6" fillId="2" borderId="4" xfId="0" applyFont="1" applyFill="1" applyBorder="1" applyAlignment="1">
      <alignment horizontal="center" vertical="center"/>
    </xf>
    <xf numFmtId="179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indent="1"/>
    </xf>
    <xf numFmtId="0" fontId="7" fillId="2" borderId="4" xfId="0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right" vertical="center" indent="1"/>
    </xf>
    <xf numFmtId="0" fontId="8" fillId="2" borderId="4" xfId="0" applyFont="1" applyFill="1" applyBorder="1" applyAlignment="1">
      <alignment horizontal="left" vertical="center" indent="1"/>
    </xf>
    <xf numFmtId="0" fontId="9" fillId="4" borderId="4" xfId="0" applyFont="1" applyFill="1" applyBorder="1" applyAlignment="1">
      <alignment horizontal="center" vertical="center"/>
    </xf>
    <xf numFmtId="176" fontId="9" fillId="4" borderId="4" xfId="0" applyNumberFormat="1" applyFont="1" applyFill="1" applyBorder="1" applyAlignment="1">
      <alignment horizontal="right" vertical="center" indent="1"/>
    </xf>
    <xf numFmtId="0" fontId="6" fillId="4" borderId="4" xfId="0" applyFont="1" applyFill="1" applyBorder="1" applyAlignment="1">
      <alignment horizontal="left" vertical="center" indent="1"/>
    </xf>
    <xf numFmtId="0" fontId="5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right" vertical="center" indent="1"/>
    </xf>
    <xf numFmtId="180" fontId="9" fillId="0" borderId="4" xfId="0" applyNumberFormat="1" applyFont="1" applyBorder="1" applyAlignment="1">
      <alignment horizontal="right" vertical="center" indent="1"/>
    </xf>
    <xf numFmtId="0" fontId="9" fillId="0" borderId="4" xfId="0" applyFont="1" applyBorder="1" applyAlignment="1">
      <alignment horizontal="center" vertical="center"/>
    </xf>
    <xf numFmtId="180" fontId="9" fillId="4" borderId="4" xfId="0" applyNumberFormat="1" applyFont="1" applyFill="1" applyBorder="1" applyAlignment="1">
      <alignment horizontal="right" vertical="center" inden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176" fontId="3" fillId="2" borderId="0" xfId="0" applyNumberFormat="1" applyFont="1" applyFill="1" applyAlignment="1">
      <alignment horizontal="center" vertical="center"/>
    </xf>
    <xf numFmtId="0" fontId="0" fillId="2" borderId="1" xfId="0" applyFill="1" applyBorder="1"/>
    <xf numFmtId="0" fontId="9" fillId="4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2">
    <dxf>
      <font>
        <b/>
        <color rgb="FFC0392B"/>
      </font>
      <fill>
        <patternFill patternType="solid">
          <fgColor rgb="FFFDECEA"/>
          <bgColor rgb="FFFDECEA"/>
        </patternFill>
      </fill>
    </dxf>
    <dxf>
      <font>
        <b/>
        <color rgb="FF1E7B34"/>
      </font>
      <fill>
        <patternFill patternType="solid">
          <fgColor rgb="FFE6F4EA"/>
          <bgColor rgb="FFE6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8"/>
  <sheetViews>
    <sheetView showGridLines="0" tabSelected="1" workbookViewId="0"/>
  </sheetViews>
  <sheetFormatPr defaultRowHeight="16.5" x14ac:dyDescent="0.3"/>
  <cols>
    <col min="1" max="1" width="2" customWidth="1"/>
    <col min="2" max="2" width="9" customWidth="1"/>
    <col min="3" max="3" width="18" customWidth="1"/>
    <col min="4" max="4" width="20" customWidth="1"/>
    <col min="5" max="5" width="14" customWidth="1"/>
    <col min="6" max="6" width="19" customWidth="1"/>
    <col min="7" max="7" width="46" customWidth="1"/>
  </cols>
  <sheetData>
    <row r="1" spans="2:7" ht="32.1" customHeight="1" x14ac:dyDescent="0.3">
      <c r="B1" s="1" t="s">
        <v>0</v>
      </c>
    </row>
    <row r="2" spans="2:7" x14ac:dyDescent="0.3">
      <c r="B2" s="2" t="s">
        <v>1</v>
      </c>
    </row>
    <row r="3" spans="2:7" ht="8.1" customHeight="1" x14ac:dyDescent="0.3"/>
    <row r="4" spans="2:7" ht="21.95" customHeight="1" x14ac:dyDescent="0.3">
      <c r="B4" s="31" t="s">
        <v>2</v>
      </c>
      <c r="C4" s="34"/>
      <c r="D4" s="3" t="s">
        <v>3</v>
      </c>
      <c r="E4" s="31" t="s">
        <v>4</v>
      </c>
      <c r="F4" s="32"/>
    </row>
    <row r="5" spans="2:7" ht="36" customHeight="1" x14ac:dyDescent="0.3">
      <c r="B5" s="33">
        <f>F15</f>
        <v>331300</v>
      </c>
      <c r="C5" s="34"/>
      <c r="D5" s="4">
        <f>COUNTA(B19:B22)</f>
        <v>4</v>
      </c>
      <c r="E5" s="33">
        <f>ROUNDDOWN(B5/D5,0)</f>
        <v>82825</v>
      </c>
      <c r="F5" s="32"/>
    </row>
    <row r="6" spans="2:7" ht="12" customHeight="1" x14ac:dyDescent="0.3"/>
    <row r="7" spans="2:7" ht="26.1" customHeight="1" x14ac:dyDescent="0.3">
      <c r="B7" s="5" t="s">
        <v>5</v>
      </c>
      <c r="C7" s="6"/>
      <c r="D7" s="6"/>
      <c r="E7" s="6"/>
      <c r="F7" s="6"/>
      <c r="G7" s="6"/>
    </row>
    <row r="8" spans="2:7" ht="26.1" customHeight="1" x14ac:dyDescent="0.3"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spans="2:7" ht="24" customHeight="1" x14ac:dyDescent="0.3">
      <c r="B9" s="8">
        <v>1</v>
      </c>
      <c r="C9" s="9">
        <v>46298.383333333331</v>
      </c>
      <c r="D9" s="10" t="s">
        <v>12</v>
      </c>
      <c r="E9" s="11" t="s">
        <v>13</v>
      </c>
      <c r="F9" s="12">
        <v>55000</v>
      </c>
      <c r="G9" s="13"/>
    </row>
    <row r="10" spans="2:7" ht="24" customHeight="1" x14ac:dyDescent="0.3">
      <c r="B10" s="14">
        <v>2</v>
      </c>
      <c r="C10" s="15">
        <v>46298.418055555558</v>
      </c>
      <c r="D10" s="16" t="s">
        <v>14</v>
      </c>
      <c r="E10" s="17" t="s">
        <v>13</v>
      </c>
      <c r="F10" s="18">
        <v>158000</v>
      </c>
      <c r="G10" s="19"/>
    </row>
    <row r="11" spans="2:7" ht="24" customHeight="1" x14ac:dyDescent="0.3">
      <c r="B11" s="8">
        <v>3</v>
      </c>
      <c r="C11" s="9">
        <v>46298.4375</v>
      </c>
      <c r="D11" s="10" t="s">
        <v>15</v>
      </c>
      <c r="E11" s="11" t="s">
        <v>13</v>
      </c>
      <c r="F11" s="12">
        <v>12800</v>
      </c>
      <c r="G11" s="13"/>
    </row>
    <row r="12" spans="2:7" ht="24" customHeight="1" x14ac:dyDescent="0.3">
      <c r="B12" s="14">
        <v>4</v>
      </c>
      <c r="C12" s="15">
        <v>46298.52847222222</v>
      </c>
      <c r="D12" s="16" t="s">
        <v>16</v>
      </c>
      <c r="E12" s="17" t="s">
        <v>13</v>
      </c>
      <c r="F12" s="18">
        <v>64000</v>
      </c>
      <c r="G12" s="19" t="s">
        <v>17</v>
      </c>
    </row>
    <row r="13" spans="2:7" ht="24" customHeight="1" x14ac:dyDescent="0.3">
      <c r="B13" s="8">
        <v>5</v>
      </c>
      <c r="C13" s="9">
        <v>46298.658333333333</v>
      </c>
      <c r="D13" s="10" t="s">
        <v>18</v>
      </c>
      <c r="E13" s="11" t="s">
        <v>13</v>
      </c>
      <c r="F13" s="12">
        <v>23500</v>
      </c>
      <c r="G13" s="13"/>
    </row>
    <row r="14" spans="2:7" ht="24" customHeight="1" x14ac:dyDescent="0.3">
      <c r="B14" s="14">
        <v>6</v>
      </c>
      <c r="C14" s="15">
        <v>46298.722222222219</v>
      </c>
      <c r="D14" s="16" t="s">
        <v>19</v>
      </c>
      <c r="E14" s="17" t="s">
        <v>13</v>
      </c>
      <c r="F14" s="18">
        <v>18000</v>
      </c>
      <c r="G14" s="19" t="s">
        <v>20</v>
      </c>
    </row>
    <row r="15" spans="2:7" ht="26.1" customHeight="1" x14ac:dyDescent="0.3">
      <c r="B15" s="35" t="s">
        <v>21</v>
      </c>
      <c r="C15" s="36"/>
      <c r="D15" s="36"/>
      <c r="E15" s="37"/>
      <c r="F15" s="21">
        <f>SUM(F9:F14)</f>
        <v>331300</v>
      </c>
      <c r="G15" s="22"/>
    </row>
    <row r="16" spans="2:7" ht="18" customHeight="1" x14ac:dyDescent="0.3"/>
    <row r="17" spans="2:7" ht="26.1" customHeight="1" x14ac:dyDescent="0.3">
      <c r="B17" s="5" t="s">
        <v>22</v>
      </c>
      <c r="C17" s="6"/>
      <c r="D17" s="6"/>
      <c r="E17" s="6"/>
      <c r="F17" s="6"/>
    </row>
    <row r="18" spans="2:7" ht="26.1" customHeight="1" x14ac:dyDescent="0.3">
      <c r="B18" s="7" t="s">
        <v>23</v>
      </c>
      <c r="C18" s="7" t="s">
        <v>24</v>
      </c>
      <c r="D18" s="7" t="s">
        <v>25</v>
      </c>
      <c r="E18" s="7" t="s">
        <v>26</v>
      </c>
      <c r="F18" s="7" t="s">
        <v>27</v>
      </c>
      <c r="G18" s="23"/>
    </row>
    <row r="19" spans="2:7" ht="26.1" customHeight="1" x14ac:dyDescent="0.3">
      <c r="B19" s="24" t="s">
        <v>13</v>
      </c>
      <c r="C19" s="25">
        <f>SUMIFS($F$9:$F$14,$E$9:$E$14,B19)</f>
        <v>331300</v>
      </c>
      <c r="D19" s="25">
        <f>$E$5+IF(ROW()-ROW($B$19)+1&lt;=$B$5-$E$5*$D$5,1,0)</f>
        <v>82825</v>
      </c>
      <c r="E19" s="26">
        <f>C19-D19</f>
        <v>248475</v>
      </c>
      <c r="F19" s="27" t="str">
        <f>IF(E19&gt;0,TEXT(E19,"#,##0")&amp;"원 받기",IF(E19&lt;0,TEXT(-E19,"#,##0")&amp;"원 보내기","정산 끝"))</f>
        <v>248,475원 받기</v>
      </c>
    </row>
    <row r="20" spans="2:7" ht="26.1" customHeight="1" x14ac:dyDescent="0.3">
      <c r="B20" s="24" t="s">
        <v>28</v>
      </c>
      <c r="C20" s="25">
        <f>SUMIFS($F$9:$F$14,$E$9:$E$14,B20)</f>
        <v>0</v>
      </c>
      <c r="D20" s="25">
        <f>$E$5+IF(ROW()-ROW($B$19)+1&lt;=$B$5-$E$5*$D$5,1,0)</f>
        <v>82825</v>
      </c>
      <c r="E20" s="26">
        <f>C20-D20</f>
        <v>-82825</v>
      </c>
      <c r="F20" s="27" t="str">
        <f>IF(E20&gt;0,TEXT(E20,"#,##0")&amp;"원 받기",IF(E20&lt;0,TEXT(-E20,"#,##0")&amp;"원 보내기","정산 끝"))</f>
        <v>82,825원 보내기</v>
      </c>
    </row>
    <row r="21" spans="2:7" ht="26.1" customHeight="1" x14ac:dyDescent="0.3">
      <c r="B21" s="24" t="s">
        <v>29</v>
      </c>
      <c r="C21" s="25">
        <f>SUMIFS($F$9:$F$14,$E$9:$E$14,B21)</f>
        <v>0</v>
      </c>
      <c r="D21" s="25">
        <f>$E$5+IF(ROW()-ROW($B$19)+1&lt;=$B$5-$E$5*$D$5,1,0)</f>
        <v>82825</v>
      </c>
      <c r="E21" s="26">
        <f>C21-D21</f>
        <v>-82825</v>
      </c>
      <c r="F21" s="27" t="str">
        <f>IF(E21&gt;0,TEXT(E21,"#,##0")&amp;"원 받기",IF(E21&lt;0,TEXT(-E21,"#,##0")&amp;"원 보내기","정산 끝"))</f>
        <v>82,825원 보내기</v>
      </c>
    </row>
    <row r="22" spans="2:7" ht="26.1" customHeight="1" x14ac:dyDescent="0.3">
      <c r="B22" s="24" t="s">
        <v>30</v>
      </c>
      <c r="C22" s="25">
        <f>SUMIFS($F$9:$F$14,$E$9:$E$14,B22)</f>
        <v>0</v>
      </c>
      <c r="D22" s="25">
        <f>$E$5+IF(ROW()-ROW($B$19)+1&lt;=$B$5-$E$5*$D$5,1,0)</f>
        <v>82825</v>
      </c>
      <c r="E22" s="26">
        <f>C22-D22</f>
        <v>-82825</v>
      </c>
      <c r="F22" s="27" t="str">
        <f>IF(E22&gt;0,TEXT(E22,"#,##0")&amp;"원 받기",IF(E22&lt;0,TEXT(-E22,"#,##0")&amp;"원 보내기","정산 끝"))</f>
        <v>82,825원 보내기</v>
      </c>
    </row>
    <row r="23" spans="2:7" ht="26.1" customHeight="1" x14ac:dyDescent="0.3">
      <c r="B23" s="20" t="s">
        <v>21</v>
      </c>
      <c r="C23" s="21">
        <f>SUM(C19:C22)</f>
        <v>331300</v>
      </c>
      <c r="D23" s="21">
        <f>SUM(D19:D22)</f>
        <v>331300</v>
      </c>
      <c r="E23" s="28">
        <f>SUM(E19:E22)</f>
        <v>0</v>
      </c>
      <c r="F23" s="22"/>
    </row>
    <row r="24" spans="2:7" ht="21.95" customHeight="1" x14ac:dyDescent="0.3">
      <c r="B24" s="29" t="str">
        <f>IF(AND(C23=$B$5,D23=$B$5,E23=0),"✔ 검산: 낸 돈 합계와 내야 할 돈 합계가 총 지출과 같고, 차액 합계는 0원입니다","✘ 영수증의 낸 사람 이름이 위 이름 목록과 같은지 확인하세요")</f>
        <v>✔ 검산: 낸 돈 합계와 내야 할 돈 합계가 총 지출과 같고, 차액 합계는 0원입니다</v>
      </c>
    </row>
    <row r="26" spans="2:7" x14ac:dyDescent="0.3">
      <c r="B26" s="30" t="s">
        <v>31</v>
      </c>
    </row>
    <row r="27" spans="2:7" x14ac:dyDescent="0.3">
      <c r="B27" s="30" t="s">
        <v>32</v>
      </c>
    </row>
    <row r="28" spans="2:7" x14ac:dyDescent="0.3">
      <c r="B28" s="30" t="s">
        <v>33</v>
      </c>
    </row>
  </sheetData>
  <mergeCells count="5">
    <mergeCell ref="E4:F4"/>
    <mergeCell ref="B5:C5"/>
    <mergeCell ref="E5:F5"/>
    <mergeCell ref="B15:E15"/>
    <mergeCell ref="B4:C4"/>
  </mergeCells>
  <phoneticPr fontId="13" type="noConversion"/>
  <conditionalFormatting sqref="E19:F22">
    <cfRule type="expression" dxfId="1" priority="1">
      <formula>$E19&gt;0</formula>
    </cfRule>
    <cfRule type="expression" dxfId="0" priority="2">
      <formula>$E19&lt;0</formula>
    </cfRule>
  </conditionalFormatting>
  <printOptions horizontalCentere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2026-10-06T02:34:56Z</dcterms:created>
  <dcterms:modified xsi:type="dcterms:W3CDTF">2026-10-06T02:35:02Z</dcterms:modified>
</cp:coreProperties>
</file>